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11 - Revisao\"/>
    </mc:Choice>
  </mc:AlternateContent>
  <xr:revisionPtr revIDLastSave="0" documentId="13_ncr:1_{367739D5-430F-4A62-A770-BE54BBF294B2}" xr6:coauthVersionLast="47" xr6:coauthVersionMax="47" xr10:uidLastSave="{00000000-0000-0000-0000-000000000000}"/>
  <bookViews>
    <workbookView xWindow="-120" yWindow="-120" windowWidth="24240" windowHeight="13290" firstSheet="1" activeTab="9" xr2:uid="{0B606657-E70C-4ADB-9866-0F5936FE4C54}"/>
  </bookViews>
  <sheets>
    <sheet name="Planilha1" sheetId="1" r:id="rId1"/>
    <sheet name="Planilha2" sheetId="2" r:id="rId2"/>
    <sheet name="Planilha3" sheetId="3" r:id="rId3"/>
    <sheet name="Planilha4" sheetId="5" r:id="rId4"/>
    <sheet name="Planilha5" sheetId="6" r:id="rId5"/>
    <sheet name="Planilha6" sheetId="7" r:id="rId6"/>
    <sheet name="Planilha7" sheetId="8" r:id="rId7"/>
    <sheet name="Planilha8" sheetId="9" r:id="rId8"/>
    <sheet name="Planilha9" sheetId="10" r:id="rId9"/>
    <sheet name="Planilha10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9" i="1"/>
  <c r="B8" i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<sst xmlns="http://schemas.openxmlformats.org/spreadsheetml/2006/main" count="63" uniqueCount="55">
  <si>
    <t>A) 6*(3+2)</t>
  </si>
  <si>
    <t>B) 2+(6*(3+2))</t>
  </si>
  <si>
    <t>C) 2+(3*6)/(2+4)</t>
  </si>
  <si>
    <t>D)2*(8/(3+1))</t>
  </si>
  <si>
    <t>E) 3+(16-2)/(2*(9-2))</t>
  </si>
  <si>
    <t>F) (6/3)+(8/2)</t>
  </si>
  <si>
    <t>G) ((3+(8/2))*4)+(3*2)</t>
  </si>
  <si>
    <t>H) (6*(3*3)+6)-10</t>
  </si>
  <si>
    <t>I) (((10*8)+3)*9)</t>
  </si>
  <si>
    <t>J) ((-12)*(-4))+(3*(-4))</t>
  </si>
  <si>
    <t>X</t>
  </si>
  <si>
    <t>Y</t>
  </si>
  <si>
    <t>temp</t>
  </si>
  <si>
    <t>Base</t>
  </si>
  <si>
    <t>Altura</t>
  </si>
  <si>
    <t>Área</t>
  </si>
  <si>
    <t>Diametro</t>
  </si>
  <si>
    <t>Raio</t>
  </si>
  <si>
    <t>5 – Escreva um algoritmo para ler o salário mensal atual de um funcionário e o percentual de reajuste. Calcular e escrever o valor do novo salário</t>
  </si>
  <si>
    <t>Salario</t>
  </si>
  <si>
    <t>Reajuste</t>
  </si>
  <si>
    <t>Salário atual</t>
  </si>
  <si>
    <t>N1</t>
  </si>
  <si>
    <t>N2</t>
  </si>
  <si>
    <t>N3</t>
  </si>
  <si>
    <t>N4</t>
  </si>
  <si>
    <t>Média</t>
  </si>
  <si>
    <t>Numero</t>
  </si>
  <si>
    <t>Status</t>
  </si>
  <si>
    <t>Positivo</t>
  </si>
  <si>
    <t>Valor 1</t>
  </si>
  <si>
    <t>Valor 2</t>
  </si>
  <si>
    <t>Nota 01</t>
  </si>
  <si>
    <t>Nota 02</t>
  </si>
  <si>
    <t>Nota 03</t>
  </si>
  <si>
    <t>Nota 04</t>
  </si>
  <si>
    <t>D</t>
  </si>
  <si>
    <t>Código</t>
  </si>
  <si>
    <t>Nome</t>
  </si>
  <si>
    <t>Genero</t>
  </si>
  <si>
    <t>Salário</t>
  </si>
  <si>
    <t>Cadastro</t>
  </si>
  <si>
    <t>Classe</t>
  </si>
  <si>
    <t>Feminino</t>
  </si>
  <si>
    <t>Asdrubal</t>
  </si>
  <si>
    <t>Outros</t>
  </si>
  <si>
    <t>VIP</t>
  </si>
  <si>
    <t>Benegundes</t>
  </si>
  <si>
    <t>Matuzalem</t>
  </si>
  <si>
    <t>Masculino</t>
  </si>
  <si>
    <t>BRONZE</t>
  </si>
  <si>
    <t>Geremias</t>
  </si>
  <si>
    <t>PRATA</t>
  </si>
  <si>
    <t>Judith</t>
  </si>
  <si>
    <t>OURO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</si>
</sst>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left" vertical="center" indent="5"/>
    </xf>
    <xf numFmtId="0" fontId="1" fillId="0" borderId="0" xfId="0" applyFont="1" applyAlignment="1">
      <alignment vertical="center"/>
    </xf>
    <xf numFmtId="164" fontId="0" fillId="0" borderId="0" xfId="0" applyNumberFormat="1"/>
    <xf numFmtId="0" fontId="2" fillId="2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justify"/>
    </xf>
    <xf numFmtId="44" fontId="0" fillId="0" borderId="0" xfId="1" applyFont="1"/>
    <xf numFmtId="1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D0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215030</xdr:colOff>
      <xdr:row>0</xdr:row>
      <xdr:rowOff>25213</xdr:rowOff>
    </xdr:from>
    <xdr:to>
      <xdr:col>5</xdr:col>
      <xdr:colOff>211037</xdr:colOff>
      <xdr:row>7</xdr:row>
      <xdr:rowOff>151278</xdr:rowOff>
    </xdr:to>
    <xdr:pic macro="[0]!Atividade03">
      <xdr:nvPicPr>
        <xdr:cNvPr id="3" name="Imagem 2">
          <a:extLst>
            <a:ext uri="{FF2B5EF4-FFF2-40B4-BE49-F238E27FC236}">
              <a16:creationId xmlns:a16="http://schemas.microsoft.com/office/drawing/2014/main" id="{B95B42CC-41DF-AFC7-92FA-62AA27BD6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71" y="25213"/>
          <a:ext cx="1828169" cy="1459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</xdr:colOff>
      <xdr:row>2</xdr:row>
      <xdr:rowOff>90488</xdr:rowOff>
    </xdr:from>
    <xdr:to>
      <xdr:col>1</xdr:col>
      <xdr:colOff>230981</xdr:colOff>
      <xdr:row>6</xdr:row>
      <xdr:rowOff>85725</xdr:rowOff>
    </xdr:to>
    <xdr:sp macro="[0]!Atividade04" textlink="">
      <xdr:nvSpPr>
        <xdr:cNvPr id="2" name="Semicírculo 1">
          <a:extLst>
            <a:ext uri="{FF2B5EF4-FFF2-40B4-BE49-F238E27FC236}">
              <a16:creationId xmlns:a16="http://schemas.microsoft.com/office/drawing/2014/main" id="{059254A5-D9C1-9673-2584-B2AC0A8292F3}"/>
            </a:ext>
          </a:extLst>
        </xdr:cNvPr>
        <xdr:cNvSpPr/>
      </xdr:nvSpPr>
      <xdr:spPr>
        <a:xfrm>
          <a:off x="71437" y="471488"/>
          <a:ext cx="769144" cy="757237"/>
        </a:xfrm>
        <a:prstGeom prst="blockArc">
          <a:avLst>
            <a:gd name="adj1" fmla="val 10800000"/>
            <a:gd name="adj2" fmla="val 17306458"/>
            <a:gd name="adj3" fmla="val 4979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411306</xdr:colOff>
      <xdr:row>1</xdr:row>
      <xdr:rowOff>142875</xdr:rowOff>
    </xdr:from>
    <xdr:to>
      <xdr:col>5</xdr:col>
      <xdr:colOff>324715</xdr:colOff>
      <xdr:row>7</xdr:row>
      <xdr:rowOff>138545</xdr:rowOff>
    </xdr:to>
    <xdr:sp macro="[0]!Atividade05" textlink="">
      <xdr:nvSpPr>
        <xdr:cNvPr id="2" name="Smiley 1">
          <a:extLst>
            <a:ext uri="{FF2B5EF4-FFF2-40B4-BE49-F238E27FC236}">
              <a16:creationId xmlns:a16="http://schemas.microsoft.com/office/drawing/2014/main" id="{477023F2-C9C0-75D3-0DC8-484C81A2C778}"/>
            </a:ext>
          </a:extLst>
        </xdr:cNvPr>
        <xdr:cNvSpPr/>
      </xdr:nvSpPr>
      <xdr:spPr>
        <a:xfrm>
          <a:off x="2688647" y="333375"/>
          <a:ext cx="1134341" cy="1138670"/>
        </a:xfrm>
        <a:prstGeom prst="smileyFace">
          <a:avLst>
            <a:gd name="adj" fmla="val -465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453080</xdr:colOff>
      <xdr:row>0</xdr:row>
      <xdr:rowOff>105547</xdr:rowOff>
    </xdr:from>
    <xdr:to>
      <xdr:col>4</xdr:col>
      <xdr:colOff>151885</xdr:colOff>
      <xdr:row>4</xdr:row>
      <xdr:rowOff>23169</xdr:rowOff>
    </xdr:to>
    <xdr:sp macro="[0]!Atividade06" textlink="">
      <xdr:nvSpPr>
        <xdr:cNvPr id="2" name="Nuvem 1">
          <a:extLst>
            <a:ext uri="{FF2B5EF4-FFF2-40B4-BE49-F238E27FC236}">
              <a16:creationId xmlns:a16="http://schemas.microsoft.com/office/drawing/2014/main" id="{08DFBDEE-C376-A105-492D-CDEC9989D382}"/>
            </a:ext>
          </a:extLst>
        </xdr:cNvPr>
        <xdr:cNvSpPr/>
      </xdr:nvSpPr>
      <xdr:spPr>
        <a:xfrm>
          <a:off x="1673310" y="105547"/>
          <a:ext cx="919034" cy="679622"/>
        </a:xfrm>
        <a:prstGeom prst="clou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454819</xdr:colOff>
      <xdr:row>0</xdr:row>
      <xdr:rowOff>85725</xdr:rowOff>
    </xdr:from>
    <xdr:to>
      <xdr:col>4</xdr:col>
      <xdr:colOff>290513</xdr:colOff>
      <xdr:row>2</xdr:row>
      <xdr:rowOff>123825</xdr:rowOff>
    </xdr:to>
    <xdr:sp macro="[0]!Atividade07" textlink="">
      <xdr:nvSpPr>
        <xdr:cNvPr id="2" name="Pentágono 1">
          <a:extLst>
            <a:ext uri="{FF2B5EF4-FFF2-40B4-BE49-F238E27FC236}">
              <a16:creationId xmlns:a16="http://schemas.microsoft.com/office/drawing/2014/main" id="{D3573202-76A5-DE7B-7338-ADD3321DB38B}"/>
            </a:ext>
          </a:extLst>
        </xdr:cNvPr>
        <xdr:cNvSpPr/>
      </xdr:nvSpPr>
      <xdr:spPr>
        <a:xfrm>
          <a:off x="2283619" y="85725"/>
          <a:ext cx="445294" cy="419100"/>
        </a:xfrm>
        <a:prstGeom prst="pen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100013</xdr:rowOff>
    </xdr:from>
    <xdr:to>
      <xdr:col>1</xdr:col>
      <xdr:colOff>473869</xdr:colOff>
      <xdr:row>3</xdr:row>
      <xdr:rowOff>178594</xdr:rowOff>
    </xdr:to>
    <xdr:sp macro="[0]!Atividade08" textlink="">
      <xdr:nvSpPr>
        <xdr:cNvPr id="2" name="Retângulo 1">
          <a:extLst>
            <a:ext uri="{FF2B5EF4-FFF2-40B4-BE49-F238E27FC236}">
              <a16:creationId xmlns:a16="http://schemas.microsoft.com/office/drawing/2014/main" id="{CAB3E8C0-E816-F9A0-F2D0-2BE932D684DD}"/>
            </a:ext>
          </a:extLst>
        </xdr:cNvPr>
        <xdr:cNvSpPr/>
      </xdr:nvSpPr>
      <xdr:spPr>
        <a:xfrm>
          <a:off x="104775" y="481013"/>
          <a:ext cx="978694" cy="26908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192296</xdr:colOff>
      <xdr:row>0</xdr:row>
      <xdr:rowOff>0</xdr:rowOff>
    </xdr:from>
    <xdr:to>
      <xdr:col>5</xdr:col>
      <xdr:colOff>172915</xdr:colOff>
      <xdr:row>7</xdr:row>
      <xdr:rowOff>20718</xdr:rowOff>
    </xdr:to>
    <xdr:pic macro="[0]!atividade10">
      <xdr:nvPicPr>
        <xdr:cNvPr id="5" name="Imagem 4">
          <a:extLst>
            <a:ext uri="{FF2B5EF4-FFF2-40B4-BE49-F238E27FC236}">
              <a16:creationId xmlns:a16="http://schemas.microsoft.com/office/drawing/2014/main" id="{B63E6CC9-7188-F495-112F-409CE0E4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1496" y="0"/>
          <a:ext cx="1809419" cy="135421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190499</xdr:rowOff>
    </xdr:from>
    <xdr:to>
      <xdr:col>9</xdr:col>
      <xdr:colOff>1</xdr:colOff>
      <xdr:row>7</xdr:row>
      <xdr:rowOff>0</xdr:rowOff>
    </xdr:to>
    <xdr:sp macro="[0]!Atividade11" textlink="">
      <xdr:nvSpPr>
        <xdr:cNvPr id="3" name="Retângulo: Biselado 2">
          <a:extLst>
            <a:ext uri="{FF2B5EF4-FFF2-40B4-BE49-F238E27FC236}">
              <a16:creationId xmlns:a16="http://schemas.microsoft.com/office/drawing/2014/main" id="{6265CA19-D7EB-F0EE-381F-36F454084017}"/>
            </a:ext>
          </a:extLst>
        </xdr:cNvPr>
        <xdr:cNvSpPr/>
      </xdr:nvSpPr>
      <xdr:spPr>
        <a:xfrm>
          <a:off x="4260695" y="761999"/>
          <a:ext cx="1607635" cy="571501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0D447-3011-4734-9F32-CD83AD021198}">
  <sheetPr codeName="Planilha1"/>
  <dimension ref="A1:B10"/>
  <sheetViews>
    <sheetView zoomScale="235" zoomScaleNormal="235" workbookViewId="0">
      <selection activeCell="B11" sqref="B11"/>
    </sheetView>
  </sheetViews>
  <sheetFormatPr defaultRowHeight="15" x14ac:dyDescent="0.25"/>
  <cols>
    <col min="1" max="1" width="27.42578125" customWidth="1"/>
    <col min="2" max="2" width="27.140625" bestFit="1" customWidth="1"/>
  </cols>
  <sheetData>
    <row r="1" spans="1:2" x14ac:dyDescent="0.25">
      <c r="A1" s="1" t="s">
        <v>0</v>
      </c>
      <c r="B1" s="1">
        <f>6*(3+2)</f>
        <v>30</v>
      </c>
    </row>
    <row r="2" spans="1:2" x14ac:dyDescent="0.25">
      <c r="A2" s="1" t="s">
        <v>1</v>
      </c>
      <c r="B2" s="1">
        <f>2+(6*(3+2))</f>
        <v>32</v>
      </c>
    </row>
    <row r="3" spans="1:2" x14ac:dyDescent="0.25">
      <c r="A3" s="1" t="s">
        <v>2</v>
      </c>
      <c r="B3" s="1">
        <f>2+(3*6)/(2+4)</f>
        <v>5</v>
      </c>
    </row>
    <row r="4" spans="1:2" x14ac:dyDescent="0.25">
      <c r="A4" s="1" t="s">
        <v>3</v>
      </c>
      <c r="B4" s="1">
        <f>2*(8/(3+1))</f>
        <v>4</v>
      </c>
    </row>
    <row r="5" spans="1:2" x14ac:dyDescent="0.25">
      <c r="A5" s="1" t="s">
        <v>4</v>
      </c>
      <c r="B5" s="1">
        <f>3+(16-2)/(2*(9-2))</f>
        <v>4</v>
      </c>
    </row>
    <row r="6" spans="1:2" x14ac:dyDescent="0.25">
      <c r="A6" s="1" t="s">
        <v>5</v>
      </c>
      <c r="B6" s="1">
        <f>(6/3)+(8/2)</f>
        <v>6</v>
      </c>
    </row>
    <row r="7" spans="1:2" x14ac:dyDescent="0.25">
      <c r="A7" s="1" t="s">
        <v>6</v>
      </c>
      <c r="B7" s="1">
        <f>((3+(8/2))*4)+(3*2)</f>
        <v>34</v>
      </c>
    </row>
    <row r="8" spans="1:2" x14ac:dyDescent="0.25">
      <c r="A8" s="1" t="s">
        <v>7</v>
      </c>
      <c r="B8" s="1">
        <f>(6*(3*3)+6)-10</f>
        <v>50</v>
      </c>
    </row>
    <row r="9" spans="1:2" x14ac:dyDescent="0.25">
      <c r="A9" s="1" t="s">
        <v>8</v>
      </c>
      <c r="B9" s="1">
        <f>(((10*8)+3)*9)</f>
        <v>747</v>
      </c>
    </row>
    <row r="10" spans="1:2" x14ac:dyDescent="0.25">
      <c r="A10" s="1" t="s">
        <v>9</v>
      </c>
      <c r="B10" s="1">
        <f>((-12)*(-4))+(3*(-4))</f>
        <v>36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BD8C3-DC4A-4D43-B7C0-C49C1B61B08F}">
  <sheetPr codeName="Planilha2"/>
  <dimension ref="A1:B3"/>
  <sheetViews>
    <sheetView zoomScale="400" zoomScaleNormal="400" workbookViewId="0">
      <selection activeCell="D6" sqref="D6"/>
    </sheetView>
  </sheetViews>
  <sheetFormatPr defaultRowHeight="15" x14ac:dyDescent="0.25"/>
  <cols>
    <col min="1" max="1" width="6.28515625" customWidth="1"/>
    <col min="2" max="2" width="5.42578125" customWidth="1"/>
  </cols>
  <sheetData>
    <row r="1" spans="1:2" x14ac:dyDescent="0.25">
      <c r="A1" t="s">
        <v>10</v>
      </c>
      <c r="B1">
        <v>10</v>
      </c>
    </row>
    <row r="2" spans="1:2" x14ac:dyDescent="0.25">
      <c r="A2" t="s">
        <v>11</v>
      </c>
    </row>
    <row r="3" spans="1:2" x14ac:dyDescent="0.25">
      <c r="A3" t="s">
        <v>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0739-0979-4670-AE87-C02E26404D16}">
  <sheetPr codeName="Planilha3"/>
  <dimension ref="A1:B3"/>
  <sheetViews>
    <sheetView zoomScale="340" zoomScaleNormal="340" workbookViewId="0">
      <selection activeCell="B8" sqref="B8"/>
    </sheetView>
  </sheetViews>
  <sheetFormatPr defaultRowHeight="15" x14ac:dyDescent="0.25"/>
  <sheetData>
    <row r="1" spans="1:2" x14ac:dyDescent="0.25">
      <c r="A1" t="s">
        <v>13</v>
      </c>
      <c r="B1">
        <v>50</v>
      </c>
    </row>
    <row r="2" spans="1:2" x14ac:dyDescent="0.25">
      <c r="A2" t="s">
        <v>14</v>
      </c>
    </row>
    <row r="3" spans="1:2" x14ac:dyDescent="0.25">
      <c r="A3" t="s">
        <v>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26DB9-DD16-4A37-838E-AF90C4352FAA}">
  <sheetPr codeName="Planilha4"/>
  <dimension ref="A1:B2"/>
  <sheetViews>
    <sheetView zoomScale="400" zoomScaleNormal="400" workbookViewId="0">
      <selection activeCell="D4" sqref="D4"/>
    </sheetView>
  </sheetViews>
  <sheetFormatPr defaultRowHeight="15" x14ac:dyDescent="0.25"/>
  <sheetData>
    <row r="1" spans="1:2" x14ac:dyDescent="0.25">
      <c r="A1" t="s">
        <v>16</v>
      </c>
      <c r="B1">
        <v>123</v>
      </c>
    </row>
    <row r="2" spans="1:2" x14ac:dyDescent="0.25">
      <c r="A2" t="s">
        <v>17</v>
      </c>
      <c r="B2">
        <v>61.5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315CE-CCB9-4C94-85AB-F89A9EEF6C65}">
  <sheetPr codeName="Planilha5"/>
  <dimension ref="A1:B5"/>
  <sheetViews>
    <sheetView zoomScale="220" zoomScaleNormal="220" workbookViewId="0">
      <selection activeCell="B3" sqref="B3"/>
    </sheetView>
  </sheetViews>
  <sheetFormatPr defaultRowHeight="15" x14ac:dyDescent="0.25"/>
  <cols>
    <col min="1" max="1" width="15.85546875" customWidth="1"/>
    <col min="2" max="2" width="16" customWidth="1"/>
  </cols>
  <sheetData>
    <row r="1" spans="1:2" x14ac:dyDescent="0.25">
      <c r="A1" s="2" t="s">
        <v>18</v>
      </c>
    </row>
    <row r="3" spans="1:2" x14ac:dyDescent="0.25">
      <c r="A3" t="s">
        <v>19</v>
      </c>
      <c r="B3" s="3">
        <v>1000</v>
      </c>
    </row>
    <row r="4" spans="1:2" x14ac:dyDescent="0.25">
      <c r="A4" t="s">
        <v>20</v>
      </c>
      <c r="B4">
        <v>10</v>
      </c>
    </row>
    <row r="5" spans="1:2" x14ac:dyDescent="0.25">
      <c r="A5" t="s">
        <v>21</v>
      </c>
      <c r="B5" s="3">
        <v>1100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39D26-D2FB-4DD5-8787-D6CE88069BA1}">
  <sheetPr codeName="Planilha6"/>
  <dimension ref="A1:B5"/>
  <sheetViews>
    <sheetView zoomScale="370" zoomScaleNormal="370" workbookViewId="0">
      <selection activeCell="B5" sqref="B5"/>
    </sheetView>
  </sheetViews>
  <sheetFormatPr defaultRowHeight="15" x14ac:dyDescent="0.25"/>
  <sheetData>
    <row r="1" spans="1:2" x14ac:dyDescent="0.25">
      <c r="A1" t="s">
        <v>22</v>
      </c>
      <c r="B1">
        <v>7.5</v>
      </c>
    </row>
    <row r="2" spans="1:2" x14ac:dyDescent="0.25">
      <c r="A2" t="s">
        <v>23</v>
      </c>
      <c r="B2">
        <v>5</v>
      </c>
    </row>
    <row r="3" spans="1:2" x14ac:dyDescent="0.25">
      <c r="A3" t="s">
        <v>24</v>
      </c>
      <c r="B3">
        <v>9</v>
      </c>
    </row>
    <row r="4" spans="1:2" x14ac:dyDescent="0.25">
      <c r="A4" t="s">
        <v>25</v>
      </c>
      <c r="B4">
        <v>10</v>
      </c>
    </row>
    <row r="5" spans="1:2" x14ac:dyDescent="0.25">
      <c r="A5" t="s">
        <v>26</v>
      </c>
      <c r="B5">
        <v>7.8</v>
      </c>
    </row>
  </sheetData>
  <dataValidations count="1">
    <dataValidation type="decimal" allowBlank="1" showErrorMessage="1" errorTitle="Erro" error="Dados devem ser numéricos entre 0 e 10" sqref="B1:B4" xr:uid="{0D768814-733A-4EED-9BCA-729520A45002}">
      <formula1>0</formula1>
      <formula2>10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7177-0272-4A62-A9DA-6AFCF561166B}">
  <sheetPr codeName="Planilha7"/>
  <dimension ref="A1:B2"/>
  <sheetViews>
    <sheetView zoomScale="400" zoomScaleNormal="400" workbookViewId="0">
      <selection activeCell="A5" sqref="A5"/>
    </sheetView>
  </sheetViews>
  <sheetFormatPr defaultRowHeight="15" x14ac:dyDescent="0.25"/>
  <sheetData>
    <row r="1" spans="1:2" x14ac:dyDescent="0.25">
      <c r="A1" t="s">
        <v>27</v>
      </c>
      <c r="B1">
        <v>8</v>
      </c>
    </row>
    <row r="2" spans="1:2" x14ac:dyDescent="0.25">
      <c r="A2" t="s">
        <v>28</v>
      </c>
      <c r="B2" s="4" t="s">
        <v>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1A7D8-D26B-495C-B36E-B5EFD1FFCABE}">
  <sheetPr codeName="Planilha8"/>
  <dimension ref="A1:B2"/>
  <sheetViews>
    <sheetView zoomScale="400" zoomScaleNormal="400" workbookViewId="0">
      <selection activeCell="D1" sqref="D1"/>
    </sheetView>
  </sheetViews>
  <sheetFormatPr defaultRowHeight="15" x14ac:dyDescent="0.25"/>
  <sheetData>
    <row r="1" spans="1:2" x14ac:dyDescent="0.25">
      <c r="A1" t="s">
        <v>30</v>
      </c>
      <c r="B1" s="6"/>
    </row>
    <row r="2" spans="1:2" x14ac:dyDescent="0.25">
      <c r="A2" t="s">
        <v>31</v>
      </c>
      <c r="B2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DA62D-A31B-4589-B699-796172CD7362}">
  <sheetPr codeName="Planilha9"/>
  <dimension ref="A1:B6"/>
  <sheetViews>
    <sheetView zoomScale="325" zoomScaleNormal="325" workbookViewId="0">
      <selection activeCell="B3" sqref="B3"/>
    </sheetView>
  </sheetViews>
  <sheetFormatPr defaultRowHeight="15" x14ac:dyDescent="0.25"/>
  <sheetData>
    <row r="1" spans="1:2" x14ac:dyDescent="0.25">
      <c r="A1" t="s">
        <v>32</v>
      </c>
      <c r="B1">
        <v>2</v>
      </c>
    </row>
    <row r="2" spans="1:2" x14ac:dyDescent="0.25">
      <c r="A2" t="s">
        <v>33</v>
      </c>
      <c r="B2">
        <v>2</v>
      </c>
    </row>
    <row r="3" spans="1:2" x14ac:dyDescent="0.25">
      <c r="A3" t="s">
        <v>34</v>
      </c>
      <c r="B3">
        <v>2</v>
      </c>
    </row>
    <row r="4" spans="1:2" x14ac:dyDescent="0.25">
      <c r="A4" t="s">
        <v>35</v>
      </c>
      <c r="B4">
        <v>9</v>
      </c>
    </row>
    <row r="5" spans="1:2" x14ac:dyDescent="0.25">
      <c r="A5" t="s">
        <v>26</v>
      </c>
      <c r="B5">
        <v>3.75</v>
      </c>
    </row>
    <row r="6" spans="1:2" x14ac:dyDescent="0.25">
      <c r="A6" t="s">
        <v>28</v>
      </c>
      <c r="B6" s="7" t="s">
        <v>36</v>
      </c>
    </row>
  </sheetData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E0F45-17EC-4792-87E9-53E220639203}">
  <sheetPr codeName="Planilha10"/>
  <dimension ref="A1:I6"/>
  <sheetViews>
    <sheetView tabSelected="1" zoomScale="205" zoomScaleNormal="205" workbookViewId="0">
      <selection activeCell="I1" sqref="I1"/>
    </sheetView>
  </sheetViews>
  <sheetFormatPr defaultRowHeight="15" x14ac:dyDescent="0.25"/>
  <cols>
    <col min="1" max="1" width="7.140625" bestFit="1" customWidth="1"/>
    <col min="2" max="2" width="11.7109375" bestFit="1" customWidth="1"/>
    <col min="3" max="3" width="10.28515625" bestFit="1" customWidth="1"/>
    <col min="4" max="4" width="7.28515625" bestFit="1" customWidth="1"/>
    <col min="5" max="5" width="10.42578125" bestFit="1" customWidth="1"/>
    <col min="6" max="6" width="8.140625" bestFit="1" customWidth="1"/>
    <col min="8" max="8" width="7.28515625" bestFit="1" customWidth="1"/>
    <col min="9" max="9" width="15" customWidth="1"/>
  </cols>
  <sheetData>
    <row r="1" spans="1:9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H1" t="s">
        <v>38</v>
      </c>
    </row>
    <row r="2" spans="1:9" x14ac:dyDescent="0.25">
      <c r="A2">
        <v>1</v>
      </c>
      <c r="B2" t="s">
        <v>44</v>
      </c>
      <c r="C2" t="s">
        <v>45</v>
      </c>
      <c r="D2">
        <v>9856</v>
      </c>
      <c r="E2" s="9">
        <v>45498</v>
      </c>
      <c r="F2" t="s">
        <v>46</v>
      </c>
      <c r="H2" t="s">
        <v>39</v>
      </c>
    </row>
    <row r="3" spans="1:9" x14ac:dyDescent="0.25">
      <c r="A3">
        <v>2</v>
      </c>
      <c r="B3" t="s">
        <v>47</v>
      </c>
      <c r="C3" t="s">
        <v>43</v>
      </c>
      <c r="D3">
        <v>34123</v>
      </c>
      <c r="E3" s="9">
        <v>45498</v>
      </c>
      <c r="F3" t="s">
        <v>46</v>
      </c>
      <c r="H3" t="s">
        <v>40</v>
      </c>
      <c r="I3" s="8"/>
    </row>
    <row r="4" spans="1:9" x14ac:dyDescent="0.25">
      <c r="A4">
        <v>3</v>
      </c>
      <c r="B4" t="s">
        <v>48</v>
      </c>
      <c r="C4" t="s">
        <v>49</v>
      </c>
      <c r="D4">
        <v>50</v>
      </c>
      <c r="E4" s="9">
        <v>45498</v>
      </c>
      <c r="F4" t="s">
        <v>50</v>
      </c>
    </row>
    <row r="5" spans="1:9" x14ac:dyDescent="0.25">
      <c r="A5">
        <v>4</v>
      </c>
      <c r="B5" t="s">
        <v>51</v>
      </c>
      <c r="C5" t="s">
        <v>49</v>
      </c>
      <c r="D5">
        <v>1256</v>
      </c>
      <c r="E5" s="9">
        <v>45498</v>
      </c>
      <c r="F5" t="s">
        <v>52</v>
      </c>
    </row>
    <row r="6" spans="1:9" x14ac:dyDescent="0.25">
      <c r="A6">
        <v>5</v>
      </c>
      <c r="B6" t="s">
        <v>53</v>
      </c>
      <c r="C6" t="s">
        <v>45</v>
      </c>
      <c r="D6">
        <v>3256</v>
      </c>
      <c r="E6" s="9">
        <v>45498</v>
      </c>
      <c r="F6" t="s">
        <v>54</v>
      </c>
    </row>
  </sheetData>
  <dataValidations count="1">
    <dataValidation type="list" allowBlank="1" showInputMessage="1" showErrorMessage="1" sqref="I2" xr:uid="{4F292E12-5A3E-4CB3-BF0A-7FCE586FA7DE}">
      <formula1>"Masculino,Feminino,Outros"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Planilha2</vt:lpstr>
      <vt:lpstr>Planilha3</vt:lpstr>
      <vt:lpstr>Planilha4</vt:lpstr>
      <vt:lpstr>Planilha5</vt:lpstr>
      <vt:lpstr>Planilha6</vt:lpstr>
      <vt:lpstr>Planilha7</vt:lpstr>
      <vt:lpstr>Planilha8</vt:lpstr>
      <vt:lpstr>Planilha9</vt:lpstr>
      <vt:lpstr>Planilha10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2024-07-23T23:57:25Z</dcterms:created>
  <dcterms:modified xsi:type="dcterms:W3CDTF">2024-07-26T01:23:17Z</dcterms:modified>
</cp:coreProperties>
</file>